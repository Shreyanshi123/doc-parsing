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<sst xmlns="http://schemas.openxmlformats.org/spreadsheetml/2006/main" count="149" uniqueCount="46">
  <si>
    <t>FY2026 Budget Model</t>
  </si>
  <si>
    <t>Department</t>
  </si>
  <si>
    <t>Budget</t>
  </si>
  <si>
    <t>Actual</t>
  </si>
  <si>
    <t>Variance</t>
  </si>
  <si>
    <t>Variance %</t>
  </si>
  <si>
    <t>Owner</t>
  </si>
  <si>
    <t>Operations</t>
  </si>
  <si>
    <t>R. Kulkarni</t>
  </si>
  <si>
    <t>Sales</t>
  </si>
  <si>
    <t>A. Rao</t>
  </si>
  <si>
    <t>R&amp;D</t>
  </si>
  <si>
    <t>S. Iyer</t>
  </si>
  <si>
    <t>Finance</t>
  </si>
  <si>
    <t>N. Shah</t>
  </si>
  <si>
    <t>internal code</t>
  </si>
  <si>
    <t>X0</t>
  </si>
  <si>
    <t>X1</t>
  </si>
  <si>
    <t>X2</t>
  </si>
  <si>
    <t>X3</t>
  </si>
  <si>
    <t>Date</t>
  </si>
  <si>
    <t>Cost centre</t>
  </si>
  <si>
    <t>Category</t>
  </si>
  <si>
    <t>Vendor</t>
  </si>
  <si>
    <t>Amount</t>
  </si>
  <si>
    <t>Tax</t>
  </si>
  <si>
    <t>Total</t>
  </si>
  <si>
    <t>Approved</t>
  </si>
  <si>
    <t>CC100</t>
  </si>
  <si>
    <t>Consulting</t>
  </si>
  <si>
    <t>Hooli</t>
  </si>
  <si>
    <t>Yes</t>
  </si>
  <si>
    <t>CC101</t>
  </si>
  <si>
    <t>Freight</t>
  </si>
  <si>
    <t>Apex</t>
  </si>
  <si>
    <t>CC102</t>
  </si>
  <si>
    <t>Software</t>
  </si>
  <si>
    <t>CC103</t>
  </si>
  <si>
    <t>Spares</t>
  </si>
  <si>
    <t>No</t>
  </si>
  <si>
    <t>CC104</t>
  </si>
  <si>
    <t>CC105</t>
  </si>
  <si>
    <t>CC106</t>
  </si>
  <si>
    <t>Globex</t>
  </si>
  <si>
    <t>Initech</t>
  </si>
  <si>
    <t>Variance is actual minus budget. Figures exclude capital expenditure.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</si>
</sst>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7" max="7" width="0" hidden="1" customWidth="1"/>
  </cols>
  <sheetData>
    <row r="1" spans="1:7">
      <c r="A1" s="1" t="s">
        <v>0</v>
      </c>
      <c r="B1" s="1"/>
      <c r="C1" s="1"/>
      <c r="D1" s="1"/>
      <c r="E1" s="1"/>
      <c r="F1" s="1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15</v>
      </c>
    </row>
    <row r="4" spans="1:7">
      <c r="A4" t="s">
        <v>7</v>
      </c>
      <c r="B4" s="2">
        <v>5200000</v>
      </c>
      <c r="C4" s="2">
        <v>5385000</v>
      </c>
      <c r="D4" s="2">
        <f>C4-B4</f>
        <v>185000</v>
      </c>
      <c r="E4" s="3">
        <f>D4/B4</f>
        <v>0.035576923076923075</v>
      </c>
      <c r="F4" t="s">
        <v>8</v>
      </c>
      <c r="G4" t="s">
        <v>16</v>
      </c>
    </row>
    <row r="5" spans="1:7">
      <c r="A5" t="s">
        <v>9</v>
      </c>
      <c r="B5" s="2">
        <v>2100000</v>
      </c>
      <c r="C5" s="2">
        <v>1980000</v>
      </c>
      <c r="D5" s="2">
        <f>C5-B5</f>
        <v>-120000</v>
      </c>
      <c r="E5" s="3">
        <f>D5/B5</f>
        <v>-0.05714285714285714</v>
      </c>
      <c r="F5" t="s">
        <v>10</v>
      </c>
      <c r="G5" t="s">
        <v>17</v>
      </c>
    </row>
    <row r="6" spans="1:7">
      <c r="A6" t="s">
        <v>11</v>
      </c>
      <c r="B6" s="2">
        <v>1800000</v>
      </c>
      <c r="C6" s="2">
        <v>1925000</v>
      </c>
      <c r="D6" s="2">
        <f>C6-B6</f>
        <v>125000</v>
      </c>
      <c r="E6" s="3">
        <f>D6/B6</f>
        <v>0.06944444444444445</v>
      </c>
      <c r="F6" t="s">
        <v>12</v>
      </c>
      <c r="G6" t="s">
        <v>18</v>
      </c>
    </row>
    <row r="7" spans="1:7">
      <c r="A7" t="s">
        <v>13</v>
      </c>
      <c r="B7" s="2">
        <v>640000</v>
      </c>
      <c r="C7" s="2">
        <v>610000</v>
      </c>
      <c r="D7" s="2">
        <f>C7-B7</f>
        <v>-30000</v>
      </c>
      <c r="E7" s="3">
        <f>D7/B7</f>
        <v>-0.046875</v>
      </c>
      <c r="F7" t="s">
        <v>14</v>
      </c>
      <c r="G7" t="s">
        <v>19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s="4">
        <v>46023</v>
      </c>
      <c r="B2" t="s">
        <v>28</v>
      </c>
      <c r="C2" t="s">
        <v>29</v>
      </c>
      <c r="D2" t="s">
        <v>30</v>
      </c>
      <c r="E2">
        <v>30214</v>
      </c>
      <c r="F2">
        <v>5438.52</v>
      </c>
      <c r="G2" s="2">
        <f>E2+F2</f>
        <v>35652.52</v>
      </c>
      <c r="H2" t="s">
        <v>31</v>
      </c>
    </row>
    <row r="3" spans="1:8">
      <c r="A3" s="4">
        <v>46055</v>
      </c>
      <c r="B3" t="s">
        <v>32</v>
      </c>
      <c r="C3" t="s">
        <v>33</v>
      </c>
      <c r="D3" t="s">
        <v>34</v>
      </c>
      <c r="E3">
        <v>25812</v>
      </c>
      <c r="F3">
        <v>4646.16</v>
      </c>
      <c r="G3" s="2">
        <f>E3+F3</f>
        <v>30458.16</v>
      </c>
      <c r="H3" t="s">
        <v>31</v>
      </c>
    </row>
    <row r="4" spans="1:8">
      <c r="A4" s="4">
        <v>46084</v>
      </c>
      <c r="B4" t="s">
        <v>35</v>
      </c>
      <c r="C4" t="s">
        <v>36</v>
      </c>
      <c r="D4" t="s">
        <v>30</v>
      </c>
      <c r="E4">
        <v>32932</v>
      </c>
      <c r="F4">
        <v>5927.76</v>
      </c>
      <c r="G4" s="2">
        <f>E4+F4</f>
        <v>38859.76</v>
      </c>
      <c r="H4" t="s">
        <v>31</v>
      </c>
    </row>
    <row r="5" spans="1:8">
      <c r="A5" s="4">
        <v>46116</v>
      </c>
      <c r="B5" t="s">
        <v>37</v>
      </c>
      <c r="C5" t="s">
        <v>38</v>
      </c>
      <c r="D5" t="s">
        <v>30</v>
      </c>
      <c r="E5">
        <v>60679</v>
      </c>
      <c r="F5">
        <v>10922.22</v>
      </c>
      <c r="G5" s="2">
        <f>E5+F5</f>
        <v>71601.22</v>
      </c>
      <c r="H5" t="s">
        <v>39</v>
      </c>
    </row>
    <row r="6" spans="1:8">
      <c r="A6" s="4">
        <v>46147</v>
      </c>
      <c r="B6" t="s">
        <v>40</v>
      </c>
      <c r="C6" t="s">
        <v>36</v>
      </c>
      <c r="D6" t="s">
        <v>30</v>
      </c>
      <c r="E6">
        <v>65378</v>
      </c>
      <c r="F6">
        <v>11768.04</v>
      </c>
      <c r="G6" s="2">
        <f>E6+F6</f>
        <v>77146.04</v>
      </c>
      <c r="H6" t="s">
        <v>31</v>
      </c>
    </row>
    <row r="7" spans="1:8">
      <c r="A7" s="4">
        <v>46179</v>
      </c>
      <c r="B7" t="s">
        <v>41</v>
      </c>
      <c r="C7" t="s">
        <v>36</v>
      </c>
      <c r="D7" t="s">
        <v>34</v>
      </c>
      <c r="E7">
        <v>64082</v>
      </c>
      <c r="F7">
        <v>11534.76</v>
      </c>
      <c r="G7" s="2">
        <f>E7+F7</f>
        <v>75616.76</v>
      </c>
      <c r="H7" t="s">
        <v>39</v>
      </c>
    </row>
    <row r="8" spans="1:8">
      <c r="A8" s="4">
        <v>46029</v>
      </c>
      <c r="B8" t="s">
        <v>42</v>
      </c>
      <c r="C8" t="s">
        <v>38</v>
      </c>
      <c r="D8" t="s">
        <v>30</v>
      </c>
      <c r="E8">
        <v>68680</v>
      </c>
      <c r="F8">
        <v>12362.4</v>
      </c>
      <c r="G8" s="2">
        <f>E8+F8</f>
        <v>81042.4</v>
      </c>
      <c r="H8" t="s">
        <v>39</v>
      </c>
    </row>
    <row r="9" spans="1:8">
      <c r="A9" s="4">
        <v>46061</v>
      </c>
      <c r="B9" t="s">
        <v>28</v>
      </c>
      <c r="C9" t="s">
        <v>29</v>
      </c>
      <c r="D9" t="s">
        <v>34</v>
      </c>
      <c r="E9">
        <v>15406</v>
      </c>
      <c r="F9">
        <v>2773.08</v>
      </c>
      <c r="G9" s="2">
        <f>E9+F9</f>
        <v>18179.08</v>
      </c>
      <c r="H9" t="s">
        <v>31</v>
      </c>
    </row>
    <row r="10" spans="1:8">
      <c r="A10" s="4">
        <v>46090</v>
      </c>
      <c r="B10" t="s">
        <v>32</v>
      </c>
      <c r="C10" t="s">
        <v>38</v>
      </c>
      <c r="D10" t="s">
        <v>34</v>
      </c>
      <c r="E10">
        <v>51142</v>
      </c>
      <c r="F10">
        <v>9205.559999999999</v>
      </c>
      <c r="G10" s="2">
        <f>E10+F10</f>
        <v>60347.56</v>
      </c>
      <c r="H10" t="s">
        <v>31</v>
      </c>
    </row>
    <row r="11" spans="1:8">
      <c r="A11" s="4">
        <v>46122</v>
      </c>
      <c r="B11" t="s">
        <v>35</v>
      </c>
      <c r="C11" t="s">
        <v>36</v>
      </c>
      <c r="D11" t="s">
        <v>34</v>
      </c>
      <c r="E11">
        <v>44859</v>
      </c>
      <c r="F11">
        <v>8074.62</v>
      </c>
      <c r="G11" s="2">
        <f>E11+F11</f>
        <v>52933.62</v>
      </c>
      <c r="H11" t="s">
        <v>39</v>
      </c>
    </row>
    <row r="12" spans="1:8">
      <c r="A12" s="4">
        <v>46153</v>
      </c>
      <c r="B12" t="s">
        <v>37</v>
      </c>
      <c r="C12" t="s">
        <v>36</v>
      </c>
      <c r="D12" t="s">
        <v>43</v>
      </c>
      <c r="E12">
        <v>85660</v>
      </c>
      <c r="F12">
        <v>15418.8</v>
      </c>
      <c r="G12" s="2">
        <f>E12+F12</f>
        <v>101078.8</v>
      </c>
      <c r="H12" t="s">
        <v>31</v>
      </c>
    </row>
    <row r="13" spans="1:8">
      <c r="A13" s="4">
        <v>46185</v>
      </c>
      <c r="B13" t="s">
        <v>40</v>
      </c>
      <c r="C13" t="s">
        <v>33</v>
      </c>
      <c r="D13" t="s">
        <v>30</v>
      </c>
      <c r="E13">
        <v>71241</v>
      </c>
      <c r="F13">
        <v>12823.38</v>
      </c>
      <c r="G13" s="2">
        <f>E13+F13</f>
        <v>84064.38</v>
      </c>
      <c r="H13" t="s">
        <v>31</v>
      </c>
    </row>
    <row r="14" spans="1:8">
      <c r="A14" s="4">
        <v>46035</v>
      </c>
      <c r="B14" t="s">
        <v>41</v>
      </c>
      <c r="C14" t="s">
        <v>38</v>
      </c>
      <c r="D14" t="s">
        <v>30</v>
      </c>
      <c r="E14">
        <v>19925</v>
      </c>
      <c r="F14">
        <v>3586.5</v>
      </c>
      <c r="G14" s="2">
        <f>E14+F14</f>
        <v>23511.5</v>
      </c>
      <c r="H14" t="s">
        <v>39</v>
      </c>
    </row>
    <row r="15" spans="1:8">
      <c r="A15" s="4">
        <v>46067</v>
      </c>
      <c r="B15" t="s">
        <v>42</v>
      </c>
      <c r="C15" t="s">
        <v>29</v>
      </c>
      <c r="D15" t="s">
        <v>30</v>
      </c>
      <c r="E15">
        <v>73549</v>
      </c>
      <c r="F15">
        <v>13238.82</v>
      </c>
      <c r="G15" s="2">
        <f>E15+F15</f>
        <v>86787.82</v>
      </c>
      <c r="H15" t="s">
        <v>31</v>
      </c>
    </row>
    <row r="16" spans="1:8">
      <c r="A16" s="4">
        <v>46096</v>
      </c>
      <c r="B16" t="s">
        <v>28</v>
      </c>
      <c r="C16" t="s">
        <v>33</v>
      </c>
      <c r="D16" t="s">
        <v>44</v>
      </c>
      <c r="E16">
        <v>21248</v>
      </c>
      <c r="F16">
        <v>3824.64</v>
      </c>
      <c r="G16" s="2">
        <f>E16+F16</f>
        <v>25072.64</v>
      </c>
      <c r="H16" t="s">
        <v>39</v>
      </c>
    </row>
    <row r="17" spans="1:8">
      <c r="A17" s="4">
        <v>46128</v>
      </c>
      <c r="B17" t="s">
        <v>32</v>
      </c>
      <c r="C17" t="s">
        <v>38</v>
      </c>
      <c r="D17" t="s">
        <v>43</v>
      </c>
      <c r="E17">
        <v>84898</v>
      </c>
      <c r="F17">
        <v>15281.64</v>
      </c>
      <c r="G17" s="2">
        <f>E17+F17</f>
        <v>100179.64</v>
      </c>
      <c r="H17" t="s">
        <v>39</v>
      </c>
    </row>
    <row r="18" spans="1:8">
      <c r="A18" s="4">
        <v>46159</v>
      </c>
      <c r="B18" t="s">
        <v>35</v>
      </c>
      <c r="C18" t="s">
        <v>29</v>
      </c>
      <c r="D18" t="s">
        <v>44</v>
      </c>
      <c r="E18">
        <v>20181</v>
      </c>
      <c r="F18">
        <v>3632.58</v>
      </c>
      <c r="G18" s="2">
        <f>E18+F18</f>
        <v>23813.58</v>
      </c>
      <c r="H18" t="s">
        <v>31</v>
      </c>
    </row>
    <row r="19" spans="1:8">
      <c r="A19" s="4">
        <v>46191</v>
      </c>
      <c r="B19" t="s">
        <v>37</v>
      </c>
      <c r="C19" t="s">
        <v>36</v>
      </c>
      <c r="D19" t="s">
        <v>44</v>
      </c>
      <c r="E19">
        <v>67008</v>
      </c>
      <c r="F19">
        <v>12061.44</v>
      </c>
      <c r="G19" s="2">
        <f>E19+F19</f>
        <v>79069.44</v>
      </c>
      <c r="H19" t="s">
        <v>31</v>
      </c>
    </row>
    <row r="20" spans="1:8">
      <c r="A20" s="4">
        <v>46041</v>
      </c>
      <c r="B20" t="s">
        <v>40</v>
      </c>
      <c r="C20" t="s">
        <v>29</v>
      </c>
      <c r="D20" t="s">
        <v>44</v>
      </c>
      <c r="E20">
        <v>2061</v>
      </c>
      <c r="F20">
        <v>370.98</v>
      </c>
      <c r="G20" s="2">
        <f>E20+F20</f>
        <v>2431.98</v>
      </c>
      <c r="H20" t="s">
        <v>31</v>
      </c>
    </row>
    <row r="21" spans="1:8">
      <c r="A21" s="4">
        <v>46073</v>
      </c>
      <c r="B21" t="s">
        <v>41</v>
      </c>
      <c r="C21" t="s">
        <v>33</v>
      </c>
      <c r="D21" t="s">
        <v>30</v>
      </c>
      <c r="E21">
        <v>35475</v>
      </c>
      <c r="F21">
        <v>6385.5</v>
      </c>
      <c r="G21" s="2">
        <f>E21+F21</f>
        <v>41860.5</v>
      </c>
      <c r="H21" t="s">
        <v>39</v>
      </c>
    </row>
    <row r="22" spans="1:8">
      <c r="A22" s="4">
        <v>46102</v>
      </c>
      <c r="B22" t="s">
        <v>42</v>
      </c>
      <c r="C22" t="s">
        <v>29</v>
      </c>
      <c r="D22" t="s">
        <v>30</v>
      </c>
      <c r="E22">
        <v>49904</v>
      </c>
      <c r="F22">
        <v>8982.719999999999</v>
      </c>
      <c r="G22" s="2">
        <f>E22+F22</f>
        <v>58886.72</v>
      </c>
      <c r="H22" t="s">
        <v>31</v>
      </c>
    </row>
    <row r="23" spans="1:8">
      <c r="A23" s="4">
        <v>46134</v>
      </c>
      <c r="B23" t="s">
        <v>28</v>
      </c>
      <c r="C23" t="s">
        <v>38</v>
      </c>
      <c r="D23" t="s">
        <v>34</v>
      </c>
      <c r="E23">
        <v>86672</v>
      </c>
      <c r="F23">
        <v>15600.96</v>
      </c>
      <c r="G23" s="2">
        <f>E23+F23</f>
        <v>102272.96</v>
      </c>
      <c r="H23" t="s">
        <v>31</v>
      </c>
    </row>
    <row r="24" spans="1:8">
      <c r="A24" s="4">
        <v>46165</v>
      </c>
      <c r="B24" t="s">
        <v>32</v>
      </c>
      <c r="C24" t="s">
        <v>33</v>
      </c>
      <c r="D24" t="s">
        <v>43</v>
      </c>
      <c r="E24">
        <v>87423</v>
      </c>
      <c r="F24">
        <v>15736.14</v>
      </c>
      <c r="G24" s="2">
        <f>E24+F24</f>
        <v>103159.14</v>
      </c>
      <c r="H24" t="s">
        <v>31</v>
      </c>
    </row>
    <row r="25" spans="1:8">
      <c r="A25" s="4">
        <v>46197</v>
      </c>
      <c r="B25" t="s">
        <v>35</v>
      </c>
      <c r="C25" t="s">
        <v>33</v>
      </c>
      <c r="D25" t="s">
        <v>34</v>
      </c>
      <c r="E25">
        <v>39827</v>
      </c>
      <c r="F25">
        <v>7168.86</v>
      </c>
      <c r="G25" s="2">
        <f>E25+F25</f>
        <v>46995.86</v>
      </c>
      <c r="H25" t="s">
        <v>39</v>
      </c>
    </row>
    <row r="26" spans="1:8">
      <c r="A26" s="4">
        <v>46047</v>
      </c>
      <c r="B26" t="s">
        <v>37</v>
      </c>
      <c r="C26" t="s">
        <v>36</v>
      </c>
      <c r="D26" t="s">
        <v>30</v>
      </c>
      <c r="E26">
        <v>45302</v>
      </c>
      <c r="F26">
        <v>8154.36</v>
      </c>
      <c r="G26" s="2">
        <f>E26+F26</f>
        <v>53456.36</v>
      </c>
      <c r="H26" t="s">
        <v>31</v>
      </c>
    </row>
    <row r="27" spans="1:8">
      <c r="A27" s="4">
        <v>46079</v>
      </c>
      <c r="B27" t="s">
        <v>40</v>
      </c>
      <c r="C27" t="s">
        <v>38</v>
      </c>
      <c r="D27" t="s">
        <v>30</v>
      </c>
      <c r="E27">
        <v>18724</v>
      </c>
      <c r="F27">
        <v>3370.32</v>
      </c>
      <c r="G27" s="2">
        <f>E27+F27</f>
        <v>22094.32</v>
      </c>
      <c r="H27" t="s">
        <v>39</v>
      </c>
    </row>
    <row r="28" spans="1:8">
      <c r="A28" s="4">
        <v>46108</v>
      </c>
      <c r="B28" t="s">
        <v>41</v>
      </c>
      <c r="C28" t="s">
        <v>33</v>
      </c>
      <c r="D28" t="s">
        <v>34</v>
      </c>
      <c r="E28">
        <v>55283</v>
      </c>
      <c r="F28">
        <v>9950.940000000001</v>
      </c>
      <c r="G28" s="2">
        <f>E28+F28</f>
        <v>65233.94</v>
      </c>
      <c r="H28" t="s">
        <v>39</v>
      </c>
    </row>
    <row r="29" spans="1:8">
      <c r="A29" s="4">
        <v>46113</v>
      </c>
      <c r="B29" t="s">
        <v>42</v>
      </c>
      <c r="C29" t="s">
        <v>33</v>
      </c>
      <c r="D29" t="s">
        <v>34</v>
      </c>
      <c r="E29">
        <v>12966</v>
      </c>
      <c r="F29">
        <v>2333.88</v>
      </c>
      <c r="G29" s="2">
        <f>E29+F29</f>
        <v>15299.88</v>
      </c>
      <c r="H29" t="s">
        <v>31</v>
      </c>
    </row>
    <row r="30" spans="1:8">
      <c r="A30" s="4">
        <v>46144</v>
      </c>
      <c r="B30" t="s">
        <v>28</v>
      </c>
      <c r="C30" t="s">
        <v>29</v>
      </c>
      <c r="D30" t="s">
        <v>43</v>
      </c>
      <c r="E30">
        <v>68781</v>
      </c>
      <c r="F30">
        <v>12380.58</v>
      </c>
      <c r="G30" s="2">
        <f>E30+F30</f>
        <v>81161.58</v>
      </c>
      <c r="H30" t="s">
        <v>39</v>
      </c>
    </row>
    <row r="31" spans="1:8">
      <c r="A31" s="4">
        <v>46176</v>
      </c>
      <c r="B31" t="s">
        <v>32</v>
      </c>
      <c r="C31" t="s">
        <v>33</v>
      </c>
      <c r="D31" t="s">
        <v>43</v>
      </c>
      <c r="E31">
        <v>19968</v>
      </c>
      <c r="F31">
        <v>3594.24</v>
      </c>
      <c r="G31" s="2">
        <f>E31+F31</f>
        <v>23562.24</v>
      </c>
      <c r="H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2026-10-23T10:51:10Z</dcterms:created>
  <dcterms:modified xsi:type="dcterms:W3CDTF">2026-10-23T10:51:10Z</dcterms:modified>
</cp:coreProperties>
</file>