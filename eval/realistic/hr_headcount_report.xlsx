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Headcount" sheetId="1" r:id="rId1"/>
    <sheet name="Notes" sheetId="2" r:id="rId2"/>
  </sheets>
  <calcPr calcId="124519" fullCalcOnLoad="1"/>
</workbook>
</file>

<file path=xl/sharedStrings.xml><?xml version="1.0" encoding="utf-8"?>
<sst xmlns="http://schemas.openxmlformats.org/spreadsheetml/2006/main" count="18" uniqueCount="18">
  <si>
    <t>Headcount and attrition by function, FY2026</t>
  </si>
  <si>
    <t>Headcount</t>
  </si>
  <si>
    <t>Joiners / leavers</t>
  </si>
  <si>
    <t>Function</t>
  </si>
  <si>
    <t>Attrition %</t>
  </si>
  <si>
    <t>Comment</t>
  </si>
  <si>
    <t>Opening</t>
  </si>
  <si>
    <t>Closing</t>
  </si>
  <si>
    <t>Joiners</t>
  </si>
  <si>
    <t>Leavers</t>
  </si>
  <si>
    <t>Operations</t>
  </si>
  <si>
    <t>Sales</t>
  </si>
  <si>
    <t>High attrition, review exit survey</t>
  </si>
  <si>
    <t>Engineering</t>
  </si>
  <si>
    <t>Finance</t>
  </si>
  <si>
    <t>HR</t>
  </si>
  <si>
    <t>Total</t>
  </si>
  <si>
    <t>Attrition is leavers divided by average headcount. Contractors are excluded.</t>
  </si>
</sst>
</file>

<file path=xl/styles.xml><?xml version="1.0" encoding="utf-8"?>
<styleSheet xmlns="http://schemas.openxmlformats.org/spreadsheetml/2006/main">
  <numFmts count="2">
    <numFmt numFmtId="164" formatCode="#,##0"/>
    <numFmt numFmtId="165" formatCode="0.0%"/>
  </numFmts>
  <fonts count="3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E2F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2" borderId="1" xfId="0" applyFont="1" applyFill="1" applyBorder="1" applyAlignment="1">
      <alignment horizontal="center"/>
    </xf>
    <xf numFmtId="0" fontId="0" fillId="0" borderId="1" xfId="0" applyBorder="1"/>
    <xf numFmtId="164" fontId="0" fillId="0" borderId="1" xfId="0" applyNumberFormat="1" applyBorder="1"/>
    <xf numFmtId="165" fontId="0" fillId="0" borderId="1" xfId="0" applyNumberFormat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Closing headcount by function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Closing headcount</c:v>
          </c:tx>
          <c:cat>
            <c:strRef>
              <c:f>Headcount!$A$5:$A$9</c:f>
              <c:strCache>
                <c:ptCount val="5"/>
                <c:pt idx="0">
                  <c:v>Operations</c:v>
                </c:pt>
                <c:pt idx="1">
                  <c:v>Sales</c:v>
                </c:pt>
                <c:pt idx="2">
                  <c:v>Engineering</c:v>
                </c:pt>
                <c:pt idx="3">
                  <c:v>Finance</c:v>
                </c:pt>
                <c:pt idx="4">
                  <c:v>HR</c:v>
                </c:pt>
              </c:strCache>
            </c:strRef>
          </c:cat>
          <c:val>
            <c:numRef>
              <c:f>Headcount!$C$5:$C$9</c:f>
              <c:numCache>
                <c:formatCode>General</c:formatCode>
                <c:ptCount val="5"/>
                <c:pt idx="0">
                  <c:v>842</c:v>
                </c:pt>
                <c:pt idx="1">
                  <c:v>205</c:v>
                </c:pt>
                <c:pt idx="2">
                  <c:v>372</c:v>
                </c:pt>
                <c:pt idx="3">
                  <c:v>66</c:v>
                </c:pt>
                <c:pt idx="4">
                  <c:v>29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numFmt formatCode="General" sourceLinked="1"/>
        <c:tickLblPos val="nextTo"/>
        <c:crossAx val="5001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12</xdr:row>
      <xdr:rowOff>0</xdr:rowOff>
    </xdr:from>
    <xdr:to>
      <xdr:col>6</xdr:col>
      <xdr:colOff>276225</xdr:colOff>
      <xdr:row>26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10"/>
  <sheetViews>
    <sheetView tabSelected="1" workbookViewId="0"/>
  </sheetViews>
  <sheetFormatPr defaultRowHeight="15"/>
  <cols>
    <col min="1" max="1" width="18.7109375" customWidth="1"/>
    <col min="7" max="7" width="34.7109375" customWidth="1"/>
  </cols>
  <sheetData>
    <row r="1" spans="1:7">
      <c r="A1" s="1" t="s">
        <v>0</v>
      </c>
      <c r="B1" s="1"/>
      <c r="C1" s="1"/>
      <c r="D1" s="1"/>
      <c r="E1" s="1"/>
      <c r="F1" s="1"/>
      <c r="G1" s="1"/>
    </row>
    <row r="3" spans="1:7">
      <c r="A3" s="2" t="s">
        <v>3</v>
      </c>
      <c r="B3" s="2" t="s">
        <v>1</v>
      </c>
      <c r="C3" s="2"/>
      <c r="D3" s="2" t="s">
        <v>2</v>
      </c>
      <c r="E3" s="2"/>
      <c r="F3" s="2" t="s">
        <v>4</v>
      </c>
      <c r="G3" s="2" t="s">
        <v>5</v>
      </c>
    </row>
    <row r="4" spans="1:7">
      <c r="A4" s="2"/>
      <c r="B4" s="2" t="s">
        <v>6</v>
      </c>
      <c r="C4" s="2" t="s">
        <v>7</v>
      </c>
      <c r="D4" s="2" t="s">
        <v>8</v>
      </c>
      <c r="E4" s="2" t="s">
        <v>9</v>
      </c>
      <c r="F4" s="2"/>
      <c r="G4" s="2"/>
    </row>
    <row r="5" spans="1:7">
      <c r="A5" s="3" t="s">
        <v>10</v>
      </c>
      <c r="B5" s="4">
        <v>820</v>
      </c>
      <c r="C5" s="4">
        <v>842</v>
      </c>
      <c r="D5" s="4">
        <v>96</v>
      </c>
      <c r="E5" s="4">
        <v>74</v>
      </c>
      <c r="F5" s="5">
        <f>E5/AVERAGE(B5:C5)</f>
        <v>0.089</v>
      </c>
      <c r="G5" s="3"/>
    </row>
    <row r="6" spans="1:7">
      <c r="A6" s="3" t="s">
        <v>11</v>
      </c>
      <c r="B6" s="4">
        <v>210</v>
      </c>
      <c r="C6" s="4">
        <v>205</v>
      </c>
      <c r="D6" s="4">
        <v>38</v>
      </c>
      <c r="E6" s="4">
        <v>43</v>
      </c>
      <c r="F6" s="5">
        <f>E6/AVERAGE(B6:C6)</f>
        <v>0.2072</v>
      </c>
      <c r="G6" s="3" t="s">
        <v>12</v>
      </c>
    </row>
    <row r="7" spans="1:7">
      <c r="A7" s="3" t="s">
        <v>13</v>
      </c>
      <c r="B7" s="4">
        <v>340</v>
      </c>
      <c r="C7" s="4">
        <v>372</v>
      </c>
      <c r="D7" s="4">
        <v>61</v>
      </c>
      <c r="E7" s="4">
        <v>29</v>
      </c>
      <c r="F7" s="5">
        <f>E7/AVERAGE(B7:C7)</f>
        <v>0.0815</v>
      </c>
      <c r="G7" s="3"/>
    </row>
    <row r="8" spans="1:7">
      <c r="A8" s="3" t="s">
        <v>14</v>
      </c>
      <c r="B8" s="4">
        <v>64</v>
      </c>
      <c r="C8" s="4">
        <v>66</v>
      </c>
      <c r="D8" s="4">
        <v>7</v>
      </c>
      <c r="E8" s="4">
        <v>5</v>
      </c>
      <c r="F8" s="5">
        <f>E8/AVERAGE(B8:C8)</f>
        <v>0.0769</v>
      </c>
      <c r="G8" s="3"/>
    </row>
    <row r="9" spans="1:7">
      <c r="A9" s="3" t="s">
        <v>15</v>
      </c>
      <c r="B9" s="4">
        <v>28</v>
      </c>
      <c r="C9" s="4">
        <v>29</v>
      </c>
      <c r="D9" s="4">
        <v>4</v>
      </c>
      <c r="E9" s="4">
        <v>3</v>
      </c>
      <c r="F9" s="5">
        <f>E9/AVERAGE(B9:C9)</f>
        <v>0.1053</v>
      </c>
      <c r="G9" s="3"/>
    </row>
    <row r="10" spans="1:7">
      <c r="A10" s="2" t="s">
        <v>16</v>
      </c>
      <c r="B10" s="4">
        <f>SUM(B5:B9)</f>
        <v>1462</v>
      </c>
      <c r="C10" s="4">
        <f>SUM(C5:C9)</f>
        <v>1514</v>
      </c>
      <c r="D10" s="4">
        <f>SUM(D5:D9)</f>
        <v>206</v>
      </c>
      <c r="E10" s="4">
        <f>SUM(E5:E9)</f>
        <v>154</v>
      </c>
      <c r="F10" s="5">
        <f>E10/AVERAGE(B10:C10)</f>
        <v>0.1035</v>
      </c>
      <c r="G10" s="3"/>
    </row>
  </sheetData>
  <mergeCells count="3">
    <mergeCell ref="A1:G1"/>
    <mergeCell ref="B3:C3"/>
    <mergeCell ref="D3:E3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>
    <row r="1" spans="1:1">
      <c r="A1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Headcount</vt:lpstr>
      <vt:lpstr>Notes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2026-10-25T17:34:34Z</dcterms:created>
  <dcterms:modified xsi:type="dcterms:W3CDTF">2026-10-25T17:34:34Z</dcterms:modified>
</cp:coreProperties>
</file>